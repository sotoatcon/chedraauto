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4BA5D730-C195-4328-B368-C297A880E162}" xr6:coauthVersionLast="47" xr6:coauthVersionMax="47" xr10:uidLastSave="{00000000-0000-0000-0000-000000000000}"/>
  <bookViews>
    <workbookView xWindow="-108" yWindow="-108" windowWidth="23256" windowHeight="12456" activeTab="1" xr2:uid="{522E3CD9-5E7D-4978-84C2-A91ECF51BF07}"/>
  </bookViews>
  <sheets>
    <sheet name="Datos Flujos" sheetId="19" r:id="rId1"/>
    <sheet name="Validaciones Tarjeta" sheetId="20" r:id="rId2"/>
    <sheet name="Hoja3" sheetId="22" r:id="rId3"/>
    <sheet name="FlujosPruebas" sheetId="21" r:id="rId4"/>
    <sheet name="Flujos transaccionales " sheetId="18" r:id="rId5"/>
    <sheet name="Matriz Modifica 745 24-09-2024" sheetId="16" state="hidden" r:id="rId6"/>
    <sheet name="Matriz Modifica 750 25-09-2 " sheetId="17" state="hidden" r:id="rId7"/>
    <sheet name="Matriz Modifica (737) 09-09-24" sheetId="15" state="hidden" r:id="rId8"/>
    <sheet name="Matriz Modifica (715) 15-08-24" sheetId="14" state="hidden" r:id="rId9"/>
    <sheet name="Matriz Modifica (707) 06-08-24" sheetId="13" state="hidden" r:id="rId10"/>
    <sheet name="Matriz Modifica (702) 02-08-24" sheetId="12" state="hidden" r:id="rId11"/>
    <sheet name="Matriz Modifica 25-07-2024" sheetId="11" state="hidden" r:id="rId12"/>
    <sheet name="Matriz Modifica (696) 19-07-24" sheetId="8" state="hidden" r:id="rId13"/>
    <sheet name="Matriz Modifica (683) 26 Jun 24" sheetId="7" state="hidden" r:id="rId14"/>
    <sheet name="Matriz modificada  24 Junio 24" sheetId="6" state="hidden" r:id="rId15"/>
    <sheet name="Matriz modificada  21 Junio 24" sheetId="4" state="hidden" r:id="rId16"/>
    <sheet name="Matriz modificada" sheetId="2" state="hidden" r:id="rId17"/>
    <sheet name="App" sheetId="9" r:id="rId18"/>
  </sheets>
  <definedNames>
    <definedName name="_xlnm._FilterDatabase" localSheetId="4" hidden="1">'Flujos transaccionales '!$A$1:$J$21</definedName>
    <definedName name="_xlnm._FilterDatabase" localSheetId="13" hidden="1">'Matriz Modifica (683) 26 Jun 24'!$A$1:$M$33</definedName>
    <definedName name="_xlnm._FilterDatabase" localSheetId="12" hidden="1">'Matriz Modifica (696) 19-07-24'!$A$1:$M$33</definedName>
    <definedName name="_xlnm._FilterDatabase" localSheetId="10" hidden="1">'Matriz Modifica (702) 02-08-24'!$A$1:$M$33</definedName>
    <definedName name="_xlnm._FilterDatabase" localSheetId="9" hidden="1">'Matriz Modifica (707) 06-08-24'!$A$1:$M$33</definedName>
    <definedName name="_xlnm._FilterDatabase" localSheetId="8" hidden="1">'Matriz Modifica (715) 15-08-24'!$A$1:$M$33</definedName>
    <definedName name="_xlnm._FilterDatabase" localSheetId="7" hidden="1">'Matriz Modifica (737) 09-09-24'!$A$1:$M$33</definedName>
    <definedName name="_xlnm._FilterDatabase" localSheetId="11" hidden="1">'Matriz Modifica 25-07-2024'!$A$1:$M$33</definedName>
    <definedName name="_xlnm._FilterDatabase" localSheetId="5" hidden="1">'Matriz Modifica 745 24-09-2024'!$A$1:$M$33</definedName>
    <definedName name="_xlnm._FilterDatabase" localSheetId="6" hidden="1">'Matriz Modifica 750 25-09-2 '!$A$1:$M$33</definedName>
    <definedName name="_xlnm._FilterDatabase" localSheetId="16" hidden="1">'Matriz modificada'!$A$1:$M$1</definedName>
    <definedName name="_xlnm._FilterDatabase" localSheetId="15" hidden="1">'Matriz modificada  21 Junio 24'!$A$1:$M$33</definedName>
    <definedName name="_xlnm._FilterDatabase" localSheetId="14" hidden="1">'Matriz modificada  24 Junio 24'!$A$1:$M$33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<sst xmlns="http://schemas.openxmlformats.org/spreadsheetml/2006/main" count="4021" uniqueCount="457">
  <si>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</si>
  <si>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</si>
  <si>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</si>
  <si>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</si>
  <si>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</si>
  <si>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</si>
  <si>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</si>
  <si>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</si>
  <si>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</si>
  <si>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</si>
  <si>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</si>
  <si>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</si>
  <si>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</si>
  <si>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</si>
  <si>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</si>
  <si>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</si>
  <si>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</si>
  <si>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</si>
  <si>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</si>
  <si>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</si>
  <si>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</si>
  <si>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</si>
  <si>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</si>
  <si>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</si>
  <si>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</si>
  <si>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</si>
  <si>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</si>
  <si>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</si>
  <si>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</si>
  <si>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</si>
  <si>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</si>
  <si>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</si>
  <si>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</si>
  <si>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</si>
  <si>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</si>
  <si>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</si>
  <si>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</si>
  <si>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</si>
  <si>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</si>
  <si>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</si>
  <si>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</si>
  <si>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</si>
  <si>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</si>
  <si>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</si>
  <si>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</si>
  <si>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</si>
  <si>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</si>
  <si>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</si>
  <si>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</si>
  <si>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</si>
  <si>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</si>
  <si>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</si>
  <si>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</si>
  <si>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</si>
  <si>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</si>
  <si>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</si>
  <si>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</si>
  <si>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</si>
  <si>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</si>
  <si>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</si>
  <si>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</si>
  <si>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</si>
  <si>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</si>
  <si>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</si>
  <si>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</si>
  <si>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</si>
  <si>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</si>
  <si>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</si>
  <si>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</si>
  <si>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</si>
  <si>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</si>
  <si>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</si>
  <si>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</si>
  <si>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</si>
  <si>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</si>
  <si>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</si>
  <si>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</si>
  <si>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</si>
  <si>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</si>
  <si>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</si>
  <si>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</si>
  <si>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</si>
  <si>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</si>
  <si>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</si>
  <si>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</si>
  <si>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</si>
  <si>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</si>
  <si>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</si>
  <si>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</si>
  <si>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</si>
  <si>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</si>
  <si>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</si>
  <si>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</si>
  <si>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</si>
  <si>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</si>
  <si>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</si>
  <si>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</si>
  <si>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</si>
  <si>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</si>
  <si>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</si>
  <si>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</si>
  <si>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</si>
  <si>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</si>
  <si>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</si>
  <si>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</si>
  <si>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</si>
  <si>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</si>
  <si>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</si>
  <si>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</si>
  <si>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</si>
  <si>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</si>
  <si>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</si>
  <si>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</si>
  <si>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</si>
  <si>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</si>
  <si>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</si>
  <si>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</si>
  <si>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</si>
  <si>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</si>
  <si>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</si>
  <si>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</si>
  <si>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</si>
  <si>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</si>
  <si>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</si>
  <si>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</si>
  <si>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</si>
  <si>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</si>
  <si>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</si>
  <si>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</si>
  <si>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</si>
  <si>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</si>
  <si>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</si>
  <si>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</si>
  <si>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</si>
  <si>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</si>
  <si>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</si>
  <si>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</si>
  <si>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</si>
  <si>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</si>
  <si>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</si>
  <si>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</si>
  <si>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</si>
  <si>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</si>
  <si>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</si>
  <si>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</si>
  <si>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</si>
  <si>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</si>
  <si>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</si>
  <si>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</si>
  <si>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</si>
  <si>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</si>
  <si>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</si>
  <si>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</si>
  <si>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</si>
  <si>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</si>
  <si>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</si>
  <si>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</si>
  <si>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</si>
  <si>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</si>
  <si>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</si>
  <si>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</si>
  <si>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</si>
  <si>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</si>
  <si>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</si>
  <si>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</si>
  <si>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</si>
  <si>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</si>
  <si>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</si>
  <si>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</si>
  <si>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</si>
  <si>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</si>
  <si>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</si>
  <si>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</si>
  <si>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</si>
  <si>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</si>
  <si>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</si>
  <si>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</si>
  <si>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</si>
  <si>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</si>
  <si>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</si>
  <si>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</si>
  <si>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</si>
  <si>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</si>
  <si>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</si>
  <si>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</si>
  <si>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</si>
  <si>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</si>
  <si>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</si>
  <si>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</si>
  <si>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</si>
  <si>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</si>
  <si>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</si>
  <si>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</si>
  <si>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</si>
  <si>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</si>
  <si>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</si>
  <si>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</si>
  <si>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</si>
  <si>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</si>
  <si>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</si>
  <si>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</si>
  <si>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</si>
  <si>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</si>
  <si>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</si>
  <si>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</si>
  <si>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</si>
  <si>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</si>
  <si>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</si>
  <si>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</si>
  <si>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</si>
  <si>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</si>
  <si>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</si>
  <si>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</si>
  <si>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</si>
  <si>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</si>
  <si>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</si>
  <si>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</si>
  <si>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</si>
  <si>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</si>
  <si>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</si>
  <si>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</si>
  <si>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</si>
  <si>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</si>
  <si>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</si>
  <si>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</si>
  <si>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</si>
  <si>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</si>
  <si>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</si>
  <si>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</si>
  <si>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</si>
  <si>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</si>
  <si>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</si>
  <si>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</si>
  <si>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</si>
  <si>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</si>
  <si>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</si>
  <si>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</si>
  <si>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</si>
  <si>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</si>
  <si>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</si>
  <si>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</si>
  <si>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</si>
  <si>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</si>
  <si>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</si>
  <si>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</si>
  <si>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</si>
  <si>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</si>
  <si>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</si>
  <si>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</si>
  <si>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</si>
  <si>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</si>
  <si>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</si>
  <si>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</si>
  <si>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</si>
  <si>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</si>
  <si>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</si>
  <si>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</si>
  <si>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</si>
  <si>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</si>
  <si>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</si>
  <si>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</si>
  <si>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</si>
  <si>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</si>
  <si>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</si>
  <si>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</si>
  <si>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</si>
  <si>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</si>
  <si>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</si>
  <si>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</si>
  <si>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</si>
  <si>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</si>
  <si>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</si>
  <si>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</si>
  <si>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</si>
  <si>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</si>
  <si>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</si>
  <si>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</si>
  <si>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</si>
  <si>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</si>
  <si>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</si>
  <si>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</si>
  <si>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</si>
  <si>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</si>
  <si>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</si>
  <si>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</si>
  <si>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</si>
  <si>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</si>
  <si>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</si>
  <si>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</si>
  <si>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</si>
  <si>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</si>
  <si>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</si>
  <si>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</si>
  <si>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</si>
  <si>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</si>
  <si>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</si>
  <si>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</si>
  <si>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</si>
  <si>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</si>
  <si>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</si>
  <si>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</si>
  <si>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</si>
  <si>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</si>
  <si>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</si>
  <si>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</si>
  <si>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</si>
  <si>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</si>
  <si>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</si>
  <si>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</si>
  <si>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</si>
  <si>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</si>
  <si>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</si>
  <si>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</si>
  <si>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</si>
  <si>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</si>
  <si>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</si>
  <si>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</si>
  <si>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</si>
  <si>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</si>
  <si>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</si>
  <si>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</si>
  <si>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</si>
  <si>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</si>
  <si>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</si>
  <si>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</si>
  <si>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</si>
  <si>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</si>
  <si>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</si>
  <si>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</si>
  <si>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</si>
  <si>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</si>
  <si>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</si>
  <si>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</si>
  <si>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</si>
  <si>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</si>
  <si>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</si>
  <si>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</si>
  <si>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</si>
  <si>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</si>
  <si>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</si>
  <si>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</si>
  <si>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</si>
  <si>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</si>
  <si>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</si>
  <si>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</si>
  <si>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</si>
  <si>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</si>
  <si>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</si>
  <si>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</si>
  <si>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</si>
  <si>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</si>
  <si>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</si>
  <si>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</si>
  <si>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</si>
  <si>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</si>
  <si>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</si>
  <si>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</si>
  <si>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</si>
  <si>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</si>
  <si>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</si>
  <si>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</si>
  <si>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</si>
  <si>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</si>
  <si>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</si>
  <si>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</si>
  <si>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</si>
  <si>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</si>
  <si>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</si>
  <si>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</si>
  <si>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</si>
  <si>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</si>
  <si>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</si>
  <si>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</si>
  <si>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</si>
  <si>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</si>
  <si>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</si>
  <si>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</si>
  <si>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</si>
  <si>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</si>
  <si>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</si>
  <si>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</si>
  <si>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</si>
  <si>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</si>
  <si>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</si>
  <si>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</si>
  <si>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</si>
  <si>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</si>
  <si>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</si>
  <si>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</si>
  <si>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</si>
  <si>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</si>
  <si>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</si>
  <si>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</si>
  <si>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</si>
  <si>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</si>
  <si>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</si>
  <si>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</si>
  <si>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</si>
  <si>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Vales</t>
  </si>
  <si>
    <t>Tarjeta</t>
  </si>
  <si>
    <t>Paypal</t>
  </si>
  <si>
    <t>Entrega</t>
  </si>
  <si>
    <t>4111111111111111</t>
  </si>
  <si>
    <t>4222222222222220</t>
  </si>
  <si>
    <t>4000000000000069</t>
  </si>
  <si>
    <t>Expirada</t>
  </si>
  <si>
    <t>Rechazada</t>
  </si>
  <si>
    <t>Fondos Insuficientes</t>
  </si>
  <si>
    <t>370000000000002</t>
  </si>
  <si>
    <t>Banco</t>
  </si>
  <si>
    <t>BANAMEX</t>
  </si>
  <si>
    <t>AMERICAN EXPRESS</t>
  </si>
  <si>
    <t>345678000000007</t>
  </si>
  <si>
    <t>Débito</t>
  </si>
  <si>
    <t>Crédito</t>
  </si>
  <si>
    <t>NA</t>
  </si>
  <si>
    <t>Escenario</t>
  </si>
  <si>
    <t>AnoExpirado</t>
  </si>
  <si>
    <t>MesExpirado</t>
  </si>
  <si>
    <t>Carnet</t>
  </si>
  <si>
    <t>5062541600005232</t>
  </si>
  <si>
    <t>5064050100000063</t>
  </si>
  <si>
    <t>5064510000300020</t>
  </si>
  <si>
    <t>Usuario</t>
  </si>
  <si>
    <t>Nuevo</t>
  </si>
  <si>
    <t>Recurrente</t>
  </si>
  <si>
    <t>Pago con tarjeta de crédito / débito (Super + Vinos y licores)</t>
  </si>
  <si>
    <t>realiza una segunda compra</t>
  </si>
  <si>
    <t>Repetir compra</t>
  </si>
  <si>
    <t>Pago con Vales de colaborador chedraui (Super)</t>
  </si>
  <si>
    <t>Pago contra Entrega (DHL)</t>
  </si>
  <si>
    <t>Pago contra Entrega (Super)</t>
  </si>
  <si>
    <t>Pago con PAYPAL (Super)</t>
  </si>
  <si>
    <t>Pago Con puntos BBVA (Super)</t>
  </si>
  <si>
    <t>Pago con Vales de despensa (Super)</t>
  </si>
  <si>
    <t>Pago con tarjeta de crédito / débito (Flete)</t>
  </si>
  <si>
    <t>Pago con tarjeta de crédito / débito (DHL)</t>
  </si>
  <si>
    <t>Joaquin Roberto Soto Castillo</t>
  </si>
  <si>
    <t>Activos</t>
  </si>
  <si>
    <t>Sucursal</t>
  </si>
  <si>
    <t>Super</t>
  </si>
  <si>
    <t>Flete</t>
  </si>
  <si>
    <t>DHL</t>
  </si>
  <si>
    <t>Refrigerador</t>
  </si>
  <si>
    <t>Aguacate, Cebolla, Platano</t>
  </si>
  <si>
    <t>TipoTienda</t>
  </si>
  <si>
    <t>Interlomas</t>
  </si>
  <si>
    <t>Polanco</t>
  </si>
  <si>
    <t>Sante fe</t>
  </si>
  <si>
    <t>Naulcalpan</t>
  </si>
  <si>
    <t>Flete, Super</t>
  </si>
  <si>
    <t>DHL, Super</t>
  </si>
  <si>
    <t>Flete, DHL</t>
  </si>
  <si>
    <t>Aguacate, Cebolla, Platano, Refrigerador</t>
  </si>
  <si>
    <t>Refrigerador, 3868714</t>
  </si>
  <si>
    <t>3868714, Aguacate, Cebolla</t>
  </si>
  <si>
    <t>Angelopolis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</si>
</sst>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
      <sz val="9"/>
      <color rgb="FF272626"/>
      <name val="Arial"/>
      <family val="2"/>
    </font>
    <font>
      <sz val="7"/>
      <color rgb="FF707070"/>
      <name val="Montserrat"/>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50">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0" fontId="0" fillId="0" borderId="0" xfId="0" applyFont="1"/>
    <xf numFmtId="49" fontId="25" fillId="0" borderId="0" xfId="0" applyNumberFormat="1" applyFont="1"/>
    <xf numFmtId="0" fontId="26" fillId="0" borderId="0" xfId="0" applyFont="1"/>
    <xf numFmtId="0" fontId="27" fillId="0" borderId="0" xfId="0" applyFont="1"/>
    <xf numFmtId="0" fontId="0" fillId="0" borderId="0" xfId="0" applyFont="1" applyAlignment="1">
      <alignment horizontal="left"/>
    </xf>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D7"/>
  <sheetViews>
    <sheetView workbookViewId="0"/>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4" ht="11.4" customHeight="1">
      <c r="A1" t="s">
        <v>389</v>
      </c>
      <c r="B1" t="s">
        <v>390</v>
      </c>
      <c r="C1" s="116" t="s">
        <v>438</v>
      </c>
    </row>
    <row r="2" spans="1:4">
      <c r="A2" t="s">
        <v>387</v>
      </c>
      <c r="B2" t="s">
        <v>401</v>
      </c>
      <c r="C2" s="117" t="s">
        <v>442</v>
      </c>
      <c r="D2" s="148">
        <v>3868714</v>
      </c>
    </row>
    <row r="3" spans="1:4">
      <c r="A3" t="s">
        <v>388</v>
      </c>
      <c r="B3" t="s">
        <v>398</v>
      </c>
      <c r="C3" s="117"/>
    </row>
    <row r="4" spans="1:4">
      <c r="A4" s="116" t="s">
        <v>383</v>
      </c>
      <c r="B4" s="116" t="s">
        <v>399</v>
      </c>
    </row>
    <row r="5" spans="1:4">
      <c r="A5" s="116" t="s">
        <v>384</v>
      </c>
      <c r="B5" s="116" t="s">
        <v>399</v>
      </c>
    </row>
    <row r="6" spans="1:4">
      <c r="A6" s="116" t="s">
        <v>385</v>
      </c>
      <c r="B6" s="116" t="s">
        <v>399</v>
      </c>
    </row>
    <row r="7" spans="1:4">
      <c r="A7" s="116" t="s">
        <v>386</v>
      </c>
      <c r="B7" s="116" t="s">
        <v>400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98DD0-04DF-46E2-AE89-603FE9DF8BD7}">
  <dimension ref="A1:Q7"/>
  <sheetViews>
    <sheetView tabSelected="1" workbookViewId="0">
      <selection activeCell="A4" sqref="A4"/>
    </sheetView>
  </sheetViews>
  <sheetFormatPr baseColWidth="10" defaultRowHeight="14.4"/>
  <cols>
    <col min="1" max="1" width="24.44140625" bestFit="1" customWidth="1"/>
    <col min="4" max="4" width="17.109375" bestFit="1" customWidth="1"/>
    <col min="5" max="5" width="17.44140625" bestFit="1" customWidth="1"/>
    <col min="6" max="6" width="17.6640625" bestFit="1" customWidth="1"/>
    <col min="8" max="8" width="25.21875" bestFit="1" customWidth="1"/>
    <col min="12" max="12" width="19.5546875" bestFit="1" customWidth="1"/>
    <col min="14" max="14" width="41.88671875" bestFit="1" customWidth="1"/>
  </cols>
  <sheetData>
    <row r="1" spans="1:17">
      <c r="A1" t="s">
        <v>389</v>
      </c>
      <c r="B1" t="s">
        <v>390</v>
      </c>
      <c r="C1" t="s">
        <v>397</v>
      </c>
      <c r="D1" s="116" t="s">
        <v>393</v>
      </c>
      <c r="E1" s="116" t="s">
        <v>409</v>
      </c>
      <c r="F1" s="116" t="s">
        <v>416</v>
      </c>
      <c r="G1" t="s">
        <v>395</v>
      </c>
      <c r="H1" t="s">
        <v>392</v>
      </c>
      <c r="I1" t="s">
        <v>391</v>
      </c>
      <c r="J1" t="s">
        <v>396</v>
      </c>
      <c r="K1" t="s">
        <v>394</v>
      </c>
      <c r="L1" t="s">
        <v>445</v>
      </c>
      <c r="M1" t="s">
        <v>439</v>
      </c>
      <c r="N1" t="s">
        <v>438</v>
      </c>
    </row>
    <row r="2" spans="1:17">
      <c r="A2" s="116" t="s">
        <v>384</v>
      </c>
      <c r="B2" s="116" t="s">
        <v>399</v>
      </c>
      <c r="C2" s="116" t="s">
        <v>414</v>
      </c>
      <c r="D2" s="146" t="s">
        <v>412</v>
      </c>
      <c r="E2" s="146" t="s">
        <v>411</v>
      </c>
      <c r="F2" s="146" t="s">
        <v>418</v>
      </c>
      <c r="G2">
        <v>12</v>
      </c>
      <c r="H2" s="146" t="s">
        <v>437</v>
      </c>
      <c r="I2">
        <v>11</v>
      </c>
      <c r="J2">
        <v>25</v>
      </c>
      <c r="K2">
        <v>546</v>
      </c>
      <c r="L2" t="s">
        <v>450</v>
      </c>
      <c r="M2" s="145" t="s">
        <v>447</v>
      </c>
      <c r="N2" t="s">
        <v>453</v>
      </c>
    </row>
    <row r="3" spans="1:17">
      <c r="A3" s="116" t="s">
        <v>384</v>
      </c>
      <c r="B3" s="116" t="s">
        <v>399</v>
      </c>
      <c r="C3" s="116" t="s">
        <v>414</v>
      </c>
      <c r="D3" s="146" t="s">
        <v>412</v>
      </c>
      <c r="E3" s="146" t="s">
        <v>411</v>
      </c>
      <c r="F3" s="146" t="s">
        <v>160</v>
      </c>
      <c r="G3">
        <v>12</v>
      </c>
      <c r="H3" s="146" t="s">
        <v>437</v>
      </c>
      <c r="I3">
        <v>5</v>
      </c>
      <c r="J3">
        <v>30</v>
      </c>
      <c r="K3">
        <v>546</v>
      </c>
      <c r="L3" t="s">
        <v>441</v>
      </c>
      <c r="M3" s="145" t="s">
        <v>447</v>
      </c>
      <c r="N3" s="145" t="s">
        <v>443</v>
      </c>
    </row>
    <row r="4" spans="1:17">
      <c r="A4" s="116" t="s">
        <v>384</v>
      </c>
      <c r="B4" s="116" t="s">
        <v>399</v>
      </c>
      <c r="C4" s="116" t="s">
        <v>415</v>
      </c>
      <c r="D4" s="146" t="s">
        <v>403</v>
      </c>
      <c r="E4" s="116" t="s">
        <v>415</v>
      </c>
      <c r="F4" s="146" t="s">
        <v>406</v>
      </c>
      <c r="G4" t="s">
        <v>415</v>
      </c>
      <c r="H4" s="146" t="s">
        <v>437</v>
      </c>
      <c r="I4">
        <v>6</v>
      </c>
      <c r="J4">
        <v>30</v>
      </c>
      <c r="K4">
        <v>546</v>
      </c>
      <c r="L4" t="s">
        <v>452</v>
      </c>
      <c r="M4" s="145" t="s">
        <v>456</v>
      </c>
      <c r="N4" s="145" t="s">
        <v>454</v>
      </c>
    </row>
    <row r="5" spans="1:17">
      <c r="A5" s="116" t="s">
        <v>384</v>
      </c>
      <c r="B5" s="116" t="s">
        <v>399</v>
      </c>
      <c r="C5" s="116" t="s">
        <v>415</v>
      </c>
      <c r="D5" s="146" t="s">
        <v>404</v>
      </c>
      <c r="E5" s="116" t="s">
        <v>415</v>
      </c>
      <c r="F5" s="146" t="s">
        <v>405</v>
      </c>
      <c r="G5" t="s">
        <v>415</v>
      </c>
      <c r="H5" s="146" t="s">
        <v>437</v>
      </c>
      <c r="I5">
        <v>7</v>
      </c>
      <c r="J5">
        <v>30</v>
      </c>
      <c r="K5">
        <v>546</v>
      </c>
      <c r="L5" t="s">
        <v>451</v>
      </c>
      <c r="M5" s="145" t="s">
        <v>449</v>
      </c>
      <c r="N5" t="s">
        <v>455</v>
      </c>
      <c r="O5" s="116"/>
      <c r="Q5" s="116"/>
    </row>
    <row r="6" spans="1:17">
      <c r="A6" s="116" t="s">
        <v>383</v>
      </c>
      <c r="B6" s="116" t="s">
        <v>399</v>
      </c>
      <c r="C6" s="116" t="s">
        <v>398</v>
      </c>
      <c r="D6" s="146" t="s">
        <v>421</v>
      </c>
      <c r="E6" s="147" t="s">
        <v>419</v>
      </c>
      <c r="F6" s="146" t="s">
        <v>418</v>
      </c>
      <c r="G6" t="s">
        <v>415</v>
      </c>
      <c r="H6" s="146" t="s">
        <v>437</v>
      </c>
      <c r="I6">
        <v>11</v>
      </c>
      <c r="J6">
        <v>25</v>
      </c>
      <c r="K6">
        <v>546</v>
      </c>
      <c r="L6" s="116" t="s">
        <v>440</v>
      </c>
      <c r="M6" t="s">
        <v>446</v>
      </c>
      <c r="N6" t="s">
        <v>444</v>
      </c>
    </row>
    <row r="7" spans="1:17">
      <c r="A7" s="116" t="s">
        <v>383</v>
      </c>
      <c r="B7" s="116" t="s">
        <v>399</v>
      </c>
      <c r="C7" s="116" t="s">
        <v>398</v>
      </c>
      <c r="D7" s="146" t="s">
        <v>420</v>
      </c>
      <c r="E7" s="147" t="s">
        <v>419</v>
      </c>
      <c r="F7" s="146" t="s">
        <v>417</v>
      </c>
      <c r="G7" t="s">
        <v>415</v>
      </c>
      <c r="H7" s="146" t="s">
        <v>437</v>
      </c>
      <c r="I7">
        <v>12</v>
      </c>
      <c r="J7">
        <v>24</v>
      </c>
      <c r="K7">
        <v>546</v>
      </c>
      <c r="L7" t="s">
        <v>442</v>
      </c>
      <c r="M7" s="145" t="s">
        <v>447</v>
      </c>
      <c r="N7" s="149">
        <v>3868714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4995-44D6-4410-AFAD-76EF9BD43593}">
  <dimension ref="A1:N5"/>
  <sheetViews>
    <sheetView workbookViewId="0">
      <selection sqref="A1:XFD5"/>
    </sheetView>
  </sheetViews>
  <sheetFormatPr baseColWidth="10" defaultRowHeight="14.4"/>
  <sheetData>
    <row r="1" spans="1:14">
      <c r="A1" s="116" t="s">
        <v>383</v>
      </c>
      <c r="B1" s="116" t="s">
        <v>399</v>
      </c>
      <c r="C1" s="116" t="s">
        <v>398</v>
      </c>
      <c r="D1" s="146" t="s">
        <v>422</v>
      </c>
      <c r="E1" s="147" t="s">
        <v>419</v>
      </c>
      <c r="F1" s="146" t="s">
        <v>406</v>
      </c>
      <c r="G1" t="s">
        <v>415</v>
      </c>
      <c r="H1" s="146" t="s">
        <v>437</v>
      </c>
      <c r="I1">
        <v>9</v>
      </c>
      <c r="J1">
        <v>30</v>
      </c>
      <c r="K1">
        <v>546</v>
      </c>
      <c r="L1" t="s">
        <v>441</v>
      </c>
      <c r="M1" s="145" t="s">
        <v>447</v>
      </c>
      <c r="N1" s="145" t="s">
        <v>443</v>
      </c>
    </row>
    <row r="2" spans="1:14">
      <c r="A2" s="116" t="s">
        <v>384</v>
      </c>
      <c r="B2" s="116" t="s">
        <v>399</v>
      </c>
      <c r="C2" s="116" t="s">
        <v>413</v>
      </c>
      <c r="D2" s="146" t="s">
        <v>402</v>
      </c>
      <c r="E2" s="146" t="s">
        <v>410</v>
      </c>
      <c r="F2" s="146" t="s">
        <v>417</v>
      </c>
      <c r="G2" t="s">
        <v>415</v>
      </c>
      <c r="H2" s="146" t="s">
        <v>437</v>
      </c>
      <c r="I2">
        <v>12</v>
      </c>
      <c r="J2">
        <v>24</v>
      </c>
      <c r="K2">
        <v>546</v>
      </c>
      <c r="L2" t="s">
        <v>440</v>
      </c>
      <c r="M2" t="s">
        <v>446</v>
      </c>
      <c r="N2" t="s">
        <v>444</v>
      </c>
    </row>
    <row r="3" spans="1:14">
      <c r="A3" s="116" t="s">
        <v>384</v>
      </c>
      <c r="B3" s="116" t="s">
        <v>399</v>
      </c>
      <c r="C3" s="116" t="s">
        <v>413</v>
      </c>
      <c r="D3" s="146" t="s">
        <v>402</v>
      </c>
      <c r="E3" s="146" t="s">
        <v>410</v>
      </c>
      <c r="F3" s="146" t="s">
        <v>418</v>
      </c>
      <c r="G3" t="s">
        <v>415</v>
      </c>
      <c r="H3" s="146" t="s">
        <v>437</v>
      </c>
      <c r="I3">
        <v>11</v>
      </c>
      <c r="J3">
        <v>25</v>
      </c>
      <c r="K3">
        <v>546</v>
      </c>
      <c r="L3" t="s">
        <v>441</v>
      </c>
      <c r="M3" t="s">
        <v>448</v>
      </c>
      <c r="N3" s="145" t="s">
        <v>443</v>
      </c>
    </row>
    <row r="4" spans="1:14">
      <c r="A4" s="116" t="s">
        <v>384</v>
      </c>
      <c r="B4" s="116" t="s">
        <v>399</v>
      </c>
      <c r="C4" s="116" t="s">
        <v>414</v>
      </c>
      <c r="D4" s="146" t="s">
        <v>412</v>
      </c>
      <c r="E4" s="146" t="s">
        <v>411</v>
      </c>
      <c r="F4" s="146" t="s">
        <v>417</v>
      </c>
      <c r="G4">
        <v>6</v>
      </c>
      <c r="H4" s="146" t="s">
        <v>437</v>
      </c>
      <c r="I4">
        <v>12</v>
      </c>
      <c r="J4">
        <v>24</v>
      </c>
      <c r="K4">
        <v>546</v>
      </c>
      <c r="L4" t="s">
        <v>442</v>
      </c>
      <c r="M4" s="116" t="s">
        <v>447</v>
      </c>
      <c r="N4" s="149">
        <v>3868714</v>
      </c>
    </row>
    <row r="5" spans="1:14">
      <c r="A5" s="116" t="s">
        <v>384</v>
      </c>
      <c r="B5" s="116" t="s">
        <v>399</v>
      </c>
      <c r="C5" s="116" t="s">
        <v>415</v>
      </c>
      <c r="D5" s="146" t="s">
        <v>408</v>
      </c>
      <c r="E5" s="116" t="s">
        <v>415</v>
      </c>
      <c r="F5" s="146" t="s">
        <v>407</v>
      </c>
      <c r="G5" t="s">
        <v>415</v>
      </c>
      <c r="H5" s="146" t="s">
        <v>437</v>
      </c>
      <c r="I5">
        <v>8</v>
      </c>
      <c r="J5">
        <v>30</v>
      </c>
      <c r="K5">
        <v>546</v>
      </c>
      <c r="L5" t="s">
        <v>441</v>
      </c>
      <c r="M5" s="145" t="s">
        <v>447</v>
      </c>
      <c r="N5" s="145" t="s">
        <v>443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40DFD-BF02-410F-B2FC-5DCEDA6A1019}">
  <dimension ref="A1:B20"/>
  <sheetViews>
    <sheetView workbookViewId="0">
      <selection activeCell="H14" sqref="H14"/>
    </sheetView>
  </sheetViews>
  <sheetFormatPr baseColWidth="10" defaultRowHeight="14.4"/>
  <cols>
    <col min="2" max="2" width="61.5546875" customWidth="1"/>
  </cols>
  <sheetData>
    <row r="1" spans="1:2">
      <c r="A1" t="s">
        <v>423</v>
      </c>
      <c r="B1" t="s">
        <v>416</v>
      </c>
    </row>
    <row r="2" spans="1:2">
      <c r="A2" t="s">
        <v>424</v>
      </c>
      <c r="B2" s="95" t="s">
        <v>426</v>
      </c>
    </row>
    <row r="3" spans="1:2">
      <c r="A3" t="s">
        <v>424</v>
      </c>
      <c r="B3" s="95" t="s">
        <v>436</v>
      </c>
    </row>
    <row r="4" spans="1:2">
      <c r="A4" t="s">
        <v>424</v>
      </c>
      <c r="B4" s="95" t="s">
        <v>435</v>
      </c>
    </row>
    <row r="5" spans="1:2">
      <c r="A5" t="s">
        <v>424</v>
      </c>
      <c r="B5" s="95" t="s">
        <v>433</v>
      </c>
    </row>
    <row r="6" spans="1:2">
      <c r="A6" t="s">
        <v>424</v>
      </c>
      <c r="B6" s="95" t="s">
        <v>432</v>
      </c>
    </row>
    <row r="7" spans="1:2">
      <c r="A7" t="s">
        <v>424</v>
      </c>
      <c r="B7" s="95" t="s">
        <v>431</v>
      </c>
    </row>
    <row r="8" spans="1:2">
      <c r="A8" t="s">
        <v>424</v>
      </c>
      <c r="B8" s="95" t="s">
        <v>430</v>
      </c>
    </row>
    <row r="9" spans="1:2">
      <c r="A9" t="s">
        <v>424</v>
      </c>
      <c r="B9" s="95" t="s">
        <v>429</v>
      </c>
    </row>
    <row r="10" spans="1:2">
      <c r="A10" t="s">
        <v>425</v>
      </c>
      <c r="B10" s="95" t="s">
        <v>426</v>
      </c>
    </row>
    <row r="11" spans="1:2">
      <c r="A11" t="s">
        <v>425</v>
      </c>
      <c r="B11" s="95" t="s">
        <v>436</v>
      </c>
    </row>
    <row r="12" spans="1:2">
      <c r="A12" t="s">
        <v>425</v>
      </c>
      <c r="B12" s="95" t="s">
        <v>435</v>
      </c>
    </row>
    <row r="13" spans="1:2">
      <c r="A13" t="s">
        <v>425</v>
      </c>
      <c r="B13" s="95" t="s">
        <v>434</v>
      </c>
    </row>
    <row r="14" spans="1:2">
      <c r="A14" t="s">
        <v>425</v>
      </c>
      <c r="B14" s="95" t="s">
        <v>433</v>
      </c>
    </row>
    <row r="15" spans="1:2">
      <c r="A15" t="s">
        <v>425</v>
      </c>
      <c r="B15" s="95" t="s">
        <v>432</v>
      </c>
    </row>
    <row r="16" spans="1:2">
      <c r="A16" t="s">
        <v>425</v>
      </c>
      <c r="B16" s="95" t="s">
        <v>431</v>
      </c>
    </row>
    <row r="17" spans="1:2">
      <c r="A17" t="s">
        <v>425</v>
      </c>
      <c r="B17" s="95" t="s">
        <v>430</v>
      </c>
    </row>
    <row r="18" spans="1:2">
      <c r="A18" t="s">
        <v>425</v>
      </c>
      <c r="B18" s="95" t="s">
        <v>429</v>
      </c>
    </row>
    <row r="19" spans="1:2">
      <c r="A19" t="s">
        <v>425</v>
      </c>
      <c r="B19" s="95" t="s">
        <v>428</v>
      </c>
    </row>
    <row r="20" spans="1:2">
      <c r="A20" t="s">
        <v>425</v>
      </c>
      <c r="B20" s="95" t="s">
        <v>427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workbookViewId="0">
      <pane ySplit="1" topLeftCell="A20" activePane="bottomLeft" state="frozen"/>
      <selection pane="bottomLeft" activeCell="E21" sqref="E21"/>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18"/>
      <c r="D3" s="118"/>
      <c r="E3" s="118"/>
      <c r="F3" s="118"/>
      <c r="G3" s="118"/>
      <c r="H3" s="118"/>
      <c r="I3" s="118"/>
      <c r="J3" s="118"/>
      <c r="K3" s="118"/>
      <c r="L3" s="118"/>
      <c r="M3" s="118"/>
      <c r="N3" s="118"/>
      <c r="O3" s="118"/>
      <c r="P3" s="118"/>
      <c r="Q3" s="118"/>
      <c r="R3" s="118"/>
      <c r="S3" s="118"/>
      <c r="T3" s="45"/>
      <c r="Y3" s="119"/>
      <c r="Z3" s="119"/>
      <c r="AA3" s="119"/>
      <c r="AB3" s="119"/>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20" t="s">
        <v>358</v>
      </c>
      <c r="D5" s="121"/>
      <c r="E5" s="122"/>
      <c r="F5" s="129" t="s">
        <v>359</v>
      </c>
      <c r="G5" s="129" t="s">
        <v>360</v>
      </c>
      <c r="H5" s="129" t="s">
        <v>361</v>
      </c>
      <c r="I5" s="129" t="s">
        <v>362</v>
      </c>
      <c r="J5" s="129" t="s">
        <v>363</v>
      </c>
      <c r="K5" s="129" t="s">
        <v>364</v>
      </c>
      <c r="L5" s="129" t="s">
        <v>365</v>
      </c>
      <c r="M5" s="131" t="s">
        <v>366</v>
      </c>
      <c r="N5" s="131" t="s">
        <v>367</v>
      </c>
      <c r="O5" s="131" t="s">
        <v>368</v>
      </c>
      <c r="P5" s="133" t="s">
        <v>369</v>
      </c>
      <c r="Q5" s="134"/>
      <c r="R5" s="134"/>
      <c r="S5" s="135"/>
      <c r="T5" s="51"/>
      <c r="U5" s="52"/>
      <c r="Y5" s="53"/>
      <c r="Z5" s="53"/>
      <c r="AA5" s="53"/>
      <c r="AB5" s="53"/>
      <c r="AC5" s="53"/>
      <c r="AD5" s="53"/>
      <c r="AE5" s="53"/>
    </row>
    <row r="6" spans="1:31" s="49" customFormat="1" ht="15" customHeight="1">
      <c r="B6" s="50"/>
      <c r="C6" s="123"/>
      <c r="D6" s="124"/>
      <c r="E6" s="125"/>
      <c r="F6" s="130"/>
      <c r="G6" s="130"/>
      <c r="H6" s="130"/>
      <c r="I6" s="130"/>
      <c r="J6" s="130"/>
      <c r="K6" s="130"/>
      <c r="L6" s="130"/>
      <c r="M6" s="132"/>
      <c r="N6" s="132"/>
      <c r="O6" s="132"/>
      <c r="P6" s="54" t="s">
        <v>370</v>
      </c>
      <c r="Q6" s="54" t="s">
        <v>371</v>
      </c>
      <c r="R6" s="54" t="s">
        <v>372</v>
      </c>
      <c r="S6" s="54" t="s">
        <v>373</v>
      </c>
      <c r="T6" s="51"/>
      <c r="U6" s="52"/>
      <c r="Y6" s="55"/>
      <c r="Z6" s="55"/>
      <c r="AA6" s="55"/>
      <c r="AB6" s="55"/>
      <c r="AC6" s="55"/>
      <c r="AD6" s="55"/>
      <c r="AE6" s="55"/>
    </row>
    <row r="7" spans="1:31" s="56" customFormat="1" ht="15.75" customHeight="1">
      <c r="B7" s="57"/>
      <c r="C7" s="126"/>
      <c r="D7" s="127"/>
      <c r="E7" s="128"/>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36" t="s">
        <v>374</v>
      </c>
      <c r="D9" s="138" t="s">
        <v>375</v>
      </c>
      <c r="E9" s="139"/>
      <c r="F9" s="140" t="s">
        <v>359</v>
      </c>
      <c r="G9" s="129" t="s">
        <v>360</v>
      </c>
      <c r="H9" s="129" t="s">
        <v>361</v>
      </c>
      <c r="I9" s="129" t="s">
        <v>362</v>
      </c>
      <c r="J9" s="129" t="s">
        <v>363</v>
      </c>
      <c r="K9" s="129" t="s">
        <v>376</v>
      </c>
      <c r="L9" s="129" t="s">
        <v>365</v>
      </c>
      <c r="M9" s="131" t="s">
        <v>366</v>
      </c>
      <c r="N9" s="131" t="s">
        <v>367</v>
      </c>
      <c r="O9" s="131" t="s">
        <v>368</v>
      </c>
      <c r="P9" s="133" t="s">
        <v>369</v>
      </c>
      <c r="Q9" s="134"/>
      <c r="R9" s="134"/>
      <c r="S9" s="135"/>
      <c r="T9" s="67"/>
      <c r="U9" s="68"/>
      <c r="Y9" s="55"/>
      <c r="Z9" s="55"/>
      <c r="AA9" s="55"/>
      <c r="AB9" s="55"/>
      <c r="AC9" s="55"/>
      <c r="AD9" s="55"/>
      <c r="AE9" s="55"/>
    </row>
    <row r="10" spans="1:31" s="49" customFormat="1" ht="15" customHeight="1">
      <c r="B10" s="50"/>
      <c r="C10" s="137"/>
      <c r="D10" s="69" t="s">
        <v>377</v>
      </c>
      <c r="E10" s="70" t="s">
        <v>378</v>
      </c>
      <c r="F10" s="141"/>
      <c r="G10" s="130"/>
      <c r="H10" s="130"/>
      <c r="I10" s="130"/>
      <c r="J10" s="130"/>
      <c r="K10" s="130"/>
      <c r="L10" s="130"/>
      <c r="M10" s="132"/>
      <c r="N10" s="132"/>
      <c r="O10" s="132"/>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42" t="s">
        <v>380</v>
      </c>
      <c r="E11" s="142"/>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43"/>
      <c r="E12" s="143"/>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43"/>
      <c r="E13" s="143"/>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44"/>
      <c r="G16" s="144"/>
      <c r="H16" s="144"/>
    </row>
  </sheetData>
  <mergeCells count="30">
    <mergeCell ref="I9:I10"/>
    <mergeCell ref="P9:S9"/>
    <mergeCell ref="D11:D13"/>
    <mergeCell ref="E11:E13"/>
    <mergeCell ref="F16:H16"/>
    <mergeCell ref="J9:J10"/>
    <mergeCell ref="K9:K10"/>
    <mergeCell ref="L9:L10"/>
    <mergeCell ref="M9:M10"/>
    <mergeCell ref="N9:N10"/>
    <mergeCell ref="O9:O10"/>
    <mergeCell ref="C9:C10"/>
    <mergeCell ref="D9:E9"/>
    <mergeCell ref="F9:F10"/>
    <mergeCell ref="G9:G10"/>
    <mergeCell ref="H9:H10"/>
    <mergeCell ref="C3:S3"/>
    <mergeCell ref="Y3:AB3"/>
    <mergeCell ref="C5:E7"/>
    <mergeCell ref="F5:F6"/>
    <mergeCell ref="G5:G6"/>
    <mergeCell ref="H5:H6"/>
    <mergeCell ref="I5:I6"/>
    <mergeCell ref="J5:J6"/>
    <mergeCell ref="K5:K6"/>
    <mergeCell ref="L5:L6"/>
    <mergeCell ref="M5:M6"/>
    <mergeCell ref="N5:N6"/>
    <mergeCell ref="O5:O6"/>
    <mergeCell ref="P5:S5"/>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Datos Flujos</vt:lpstr>
      <vt:lpstr>Validaciones Tarjeta</vt:lpstr>
      <vt:lpstr>Hoja3</vt:lpstr>
      <vt:lpstr>FlujosPruebas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2025-12-31T17:16:43Z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